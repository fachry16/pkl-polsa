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KADEMIK_EMKA\Akademik EMKA\PENGAJARAN\UAS\UAS GENAP 2025-2026\NILAI DOSEN\"/>
    </mc:Choice>
  </mc:AlternateContent>
  <xr:revisionPtr revIDLastSave="0" documentId="13_ncr:1_{0467ED96-FAD1-4FB2-BD95-FD12D681D819}" xr6:coauthVersionLast="47" xr6:coauthVersionMax="47" xr10:uidLastSave="{00000000-0000-0000-0000-000000000000}"/>
  <bookViews>
    <workbookView xWindow="-120" yWindow="-120" windowWidth="20730" windowHeight="11160" tabRatio="743" xr2:uid="{00000000-000D-0000-FFFF-FFFF00000000}"/>
  </bookViews>
  <sheets>
    <sheet name="x" sheetId="23" r:id="rId1"/>
  </sheets>
  <definedNames>
    <definedName name="_xlnm.Print_Area" localSheetId="0">x!$A$1:$S$38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3" l="1"/>
  <c r="H37" i="23"/>
  <c r="O34" i="23"/>
  <c r="Q13" i="23"/>
  <c r="O13" i="23"/>
  <c r="M13" i="23"/>
  <c r="K13" i="23"/>
  <c r="I13" i="23"/>
  <c r="P9" i="23"/>
  <c r="R13" i="23" l="1"/>
  <c r="S13" i="23" s="1"/>
</calcChain>
</file>

<file path=xl/sharedStrings.xml><?xml version="1.0" encoding="utf-8"?>
<sst xmlns="http://schemas.openxmlformats.org/spreadsheetml/2006/main" count="51" uniqueCount="46">
  <si>
    <t>DAFTAR NILAI</t>
  </si>
  <si>
    <t>Dosen</t>
  </si>
  <si>
    <t>Kelas</t>
  </si>
  <si>
    <t>:</t>
  </si>
  <si>
    <t>NIDN/NUPN</t>
  </si>
  <si>
    <t xml:space="preserve">Semester                      </t>
  </si>
  <si>
    <t>Program Studi</t>
  </si>
  <si>
    <t xml:space="preserve">Kode Kelas                  </t>
  </si>
  <si>
    <t xml:space="preserve">Jumlah TM                   </t>
  </si>
  <si>
    <t>Rata-rata Kehadiran       :</t>
  </si>
  <si>
    <t>No</t>
  </si>
  <si>
    <t>NIM</t>
  </si>
  <si>
    <t>Nama Mahasiswa</t>
  </si>
  <si>
    <t>Tugas</t>
  </si>
  <si>
    <t>Aktif</t>
  </si>
  <si>
    <t>Etika</t>
  </si>
  <si>
    <t>UJIAN</t>
  </si>
  <si>
    <t>Jumlah</t>
  </si>
  <si>
    <t>NA</t>
  </si>
  <si>
    <t>I</t>
  </si>
  <si>
    <t>II</t>
  </si>
  <si>
    <t>% tugas</t>
  </si>
  <si>
    <t>K</t>
  </si>
  <si>
    <t>% K</t>
  </si>
  <si>
    <t>E</t>
  </si>
  <si>
    <t>% E</t>
  </si>
  <si>
    <t>TOT</t>
  </si>
  <si>
    <t>%P</t>
  </si>
  <si>
    <t>UTS</t>
  </si>
  <si>
    <t>% MID</t>
  </si>
  <si>
    <t>UAS</t>
  </si>
  <si>
    <t>% UAS</t>
  </si>
  <si>
    <t>Presentasi Penilaian</t>
  </si>
  <si>
    <t xml:space="preserve">UTS </t>
  </si>
  <si>
    <t>Dosen Pengampu</t>
  </si>
  <si>
    <t xml:space="preserve">UAS </t>
  </si>
  <si>
    <t xml:space="preserve">Presensi </t>
  </si>
  <si>
    <t xml:space="preserve">Etika </t>
  </si>
  <si>
    <t>Presentase</t>
  </si>
  <si>
    <t>III</t>
  </si>
  <si>
    <t>Politeknik Sawnggalih Aji</t>
  </si>
  <si>
    <t xml:space="preserve">Nama Matakuliah </t>
  </si>
  <si>
    <t>Semester : Genap 2025/2026</t>
  </si>
  <si>
    <t>A</t>
  </si>
  <si>
    <t>Purworejo, 12 Juli 2026</t>
  </si>
  <si>
    <t>Jayakatwang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</si>
</sst>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@\ * &quot;:&quot;"/>
    <numFmt numFmtId="165" formatCode="##\ \K\a\l\i"/>
  </numFmts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5" fillId="0" borderId="0">
      <alignment vertical="center"/>
    </xf>
    <xf numFmtId="0" fontId="3" fillId="0" borderId="0"/>
    <xf numFmtId="0" fontId="1" fillId="0" borderId="0"/>
  </cellStyleXfs>
  <cellXfs count="61">
    <xf numFmtId="0" fontId="0" fillId="0" borderId="0" xfId="0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4" fillId="0" borderId="0" xfId="0" applyFont="1" applyAlignment="1">
      <alignment vertical="center"/>
    </xf>
    <xf numFmtId="2" fontId="4" fillId="0" borderId="0" xfId="0" applyNumberFormat="1" applyFont="1" applyAlignment="1">
      <alignment horizontal="left"/>
    </xf>
    <xf numFmtId="0" fontId="4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 vertical="center"/>
    </xf>
    <xf numFmtId="1" fontId="3" fillId="3" borderId="7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" borderId="0" xfId="0" applyFont="1" applyFill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2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/>
    <xf numFmtId="9" fontId="3" fillId="0" borderId="7" xfId="0" applyNumberFormat="1" applyFont="1" applyBorder="1" applyAlignment="1">
      <alignment horizontal="center" vertical="center"/>
    </xf>
    <xf numFmtId="9" fontId="4" fillId="0" borderId="7" xfId="0" applyNumberFormat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10" fillId="3" borderId="7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/>
    </xf>
    <xf numFmtId="0" fontId="8" fillId="0" borderId="7" xfId="0" applyFont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6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0" xfId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A2B4582E-E46F-401D-8ECB-5E9A66269E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28</xdr:row>
      <xdr:rowOff>171451</xdr:rowOff>
    </xdr:from>
    <xdr:to>
      <xdr:col>2</xdr:col>
      <xdr:colOff>397103</xdr:colOff>
      <xdr:row>37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74A6F7-5E97-4BB8-8900-697C9383C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6248401"/>
          <a:ext cx="1321028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7878-F291-4C8B-82BB-65441D9D0E80}">
  <dimension ref="A1:U37"/>
  <sheetViews>
    <sheetView tabSelected="1" view="pageBreakPreview" zoomScale="130" zoomScaleNormal="100" zoomScaleSheetLayoutView="130" workbookViewId="0">
      <selection activeCell="C30" sqref="C30"/>
    </sheetView>
  </sheetViews>
  <sheetFormatPr defaultColWidth="9.140625" defaultRowHeight="15" x14ac:dyDescent="0.25"/>
  <cols>
    <col min="1" max="1" width="5.140625" style="2" customWidth="1"/>
    <col min="2" max="2" width="14" style="2" customWidth="1"/>
    <col min="3" max="3" width="33" style="2" bestFit="1" customWidth="1"/>
    <col min="4" max="6" width="5.42578125" style="8" customWidth="1"/>
    <col min="7" max="7" width="7.7109375" style="8" customWidth="1"/>
    <col min="8" max="8" width="6" style="8" customWidth="1"/>
    <col min="9" max="9" width="7.85546875" style="8" customWidth="1"/>
    <col min="10" max="10" width="5.42578125" style="8" customWidth="1"/>
    <col min="11" max="11" width="7.7109375" style="8" customWidth="1"/>
    <col min="12" max="12" width="6.28515625" style="8" customWidth="1"/>
    <col min="13" max="13" width="6.85546875" style="8" customWidth="1"/>
    <col min="14" max="14" width="6.42578125" style="8" customWidth="1"/>
    <col min="15" max="15" width="7.7109375" style="8" customWidth="1"/>
    <col min="16" max="16" width="6.85546875" style="8" customWidth="1"/>
    <col min="17" max="19" width="7.7109375" style="8" customWidth="1"/>
    <col min="20" max="16384" width="9.140625" style="2"/>
  </cols>
  <sheetData>
    <row r="1" spans="1:21" x14ac:dyDescent="0.2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1"/>
      <c r="U1" s="1"/>
    </row>
    <row r="2" spans="1:21" x14ac:dyDescent="0.25">
      <c r="A2" s="60" t="s">
        <v>42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1"/>
      <c r="U2" s="1"/>
    </row>
    <row r="3" spans="1:21" x14ac:dyDescent="0.25">
      <c r="A3" s="60" t="s">
        <v>40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1"/>
      <c r="U3" s="1"/>
    </row>
    <row r="4" spans="1:21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1"/>
      <c r="U4" s="1"/>
    </row>
    <row r="5" spans="1:21" x14ac:dyDescent="0.25">
      <c r="A5" s="54" t="s">
        <v>1</v>
      </c>
      <c r="B5" s="54"/>
      <c r="C5" s="3"/>
      <c r="D5" s="4"/>
      <c r="E5" s="4"/>
      <c r="F5" s="4"/>
      <c r="G5" s="4"/>
      <c r="H5" s="4"/>
      <c r="I5" s="4"/>
      <c r="J5" s="4"/>
      <c r="K5" s="3"/>
      <c r="L5" s="5"/>
      <c r="M5" s="6" t="s">
        <v>2</v>
      </c>
      <c r="N5" s="5"/>
      <c r="O5" s="5" t="s">
        <v>3</v>
      </c>
      <c r="P5" s="3" t="s">
        <v>43</v>
      </c>
      <c r="Q5" s="3"/>
      <c r="R5" s="4"/>
      <c r="S5" s="4"/>
      <c r="T5" s="1"/>
      <c r="U5" s="1"/>
    </row>
    <row r="6" spans="1:21" x14ac:dyDescent="0.25">
      <c r="A6" s="54" t="s">
        <v>4</v>
      </c>
      <c r="B6" s="54"/>
      <c r="C6" s="7"/>
      <c r="D6" s="4"/>
      <c r="E6" s="4"/>
      <c r="F6" s="4"/>
      <c r="G6" s="4"/>
      <c r="H6" s="4"/>
      <c r="I6" s="4"/>
      <c r="J6" s="4"/>
      <c r="K6" s="3"/>
      <c r="L6" s="3"/>
      <c r="M6" s="1" t="s">
        <v>5</v>
      </c>
      <c r="N6" s="1"/>
      <c r="O6" s="5" t="s">
        <v>3</v>
      </c>
      <c r="P6" s="3">
        <v>2</v>
      </c>
      <c r="Q6" s="3"/>
      <c r="R6" s="4"/>
      <c r="S6" s="4"/>
      <c r="T6" s="1"/>
      <c r="U6" s="1"/>
    </row>
    <row r="7" spans="1:21" x14ac:dyDescent="0.25">
      <c r="A7" s="54" t="s">
        <v>6</v>
      </c>
      <c r="B7" s="54"/>
      <c r="C7" s="3"/>
      <c r="D7" s="4"/>
      <c r="E7" s="4"/>
      <c r="F7" s="4"/>
      <c r="I7" s="4"/>
      <c r="K7" s="3"/>
      <c r="L7" s="3"/>
      <c r="M7" s="1" t="s">
        <v>7</v>
      </c>
      <c r="N7" s="1"/>
      <c r="O7" s="5" t="s">
        <v>3</v>
      </c>
      <c r="P7" s="9"/>
      <c r="Q7" s="9"/>
      <c r="R7" s="4"/>
      <c r="S7" s="4"/>
      <c r="T7" s="1"/>
      <c r="U7" s="1"/>
    </row>
    <row r="8" spans="1:21" x14ac:dyDescent="0.25">
      <c r="A8" s="54" t="s">
        <v>41</v>
      </c>
      <c r="B8" s="54"/>
      <c r="C8" s="1"/>
      <c r="K8" s="3"/>
      <c r="L8" s="3"/>
      <c r="M8" s="1" t="s">
        <v>8</v>
      </c>
      <c r="N8" s="1"/>
      <c r="O8" s="5" t="s">
        <v>3</v>
      </c>
      <c r="P8" s="10">
        <v>14</v>
      </c>
      <c r="Q8" s="10"/>
    </row>
    <row r="9" spans="1:21" x14ac:dyDescent="0.25">
      <c r="A9" s="55"/>
      <c r="B9" s="54"/>
      <c r="C9" s="6"/>
      <c r="K9" s="3"/>
      <c r="L9" s="3"/>
      <c r="M9" s="11" t="s">
        <v>9</v>
      </c>
      <c r="N9" s="1"/>
      <c r="O9" s="5"/>
      <c r="P9" s="12">
        <f xml:space="preserve"> AVERAGE(L13:L18)</f>
        <v>14</v>
      </c>
      <c r="Q9" s="3"/>
    </row>
    <row r="11" spans="1:21" ht="15" customHeight="1" x14ac:dyDescent="0.25">
      <c r="A11" s="52" t="s">
        <v>10</v>
      </c>
      <c r="B11" s="52" t="s">
        <v>11</v>
      </c>
      <c r="C11" s="56" t="s">
        <v>12</v>
      </c>
      <c r="D11" s="56" t="s">
        <v>13</v>
      </c>
      <c r="E11" s="56"/>
      <c r="F11" s="56"/>
      <c r="G11" s="56"/>
      <c r="H11" s="57" t="s">
        <v>14</v>
      </c>
      <c r="I11" s="58"/>
      <c r="J11" s="57" t="s">
        <v>15</v>
      </c>
      <c r="K11" s="58"/>
      <c r="L11" s="59"/>
      <c r="M11" s="58"/>
      <c r="N11" s="57" t="s">
        <v>16</v>
      </c>
      <c r="O11" s="59"/>
      <c r="P11" s="59"/>
      <c r="Q11" s="58"/>
      <c r="R11" s="52" t="s">
        <v>17</v>
      </c>
      <c r="S11" s="52" t="s">
        <v>18</v>
      </c>
    </row>
    <row r="12" spans="1:21" ht="15" customHeight="1" x14ac:dyDescent="0.25">
      <c r="A12" s="53"/>
      <c r="B12" s="53"/>
      <c r="C12" s="56"/>
      <c r="D12" s="13" t="s">
        <v>19</v>
      </c>
      <c r="E12" s="13" t="s">
        <v>20</v>
      </c>
      <c r="F12" s="13" t="s">
        <v>39</v>
      </c>
      <c r="G12" s="13" t="s">
        <v>21</v>
      </c>
      <c r="H12" s="13" t="s">
        <v>22</v>
      </c>
      <c r="I12" s="13" t="s">
        <v>23</v>
      </c>
      <c r="J12" s="13" t="s">
        <v>24</v>
      </c>
      <c r="K12" s="13" t="s">
        <v>25</v>
      </c>
      <c r="L12" s="13" t="s">
        <v>26</v>
      </c>
      <c r="M12" s="13" t="s">
        <v>27</v>
      </c>
      <c r="N12" s="13" t="s">
        <v>28</v>
      </c>
      <c r="O12" s="13" t="s">
        <v>29</v>
      </c>
      <c r="P12" s="13" t="s">
        <v>30</v>
      </c>
      <c r="Q12" s="13" t="s">
        <v>31</v>
      </c>
      <c r="R12" s="53"/>
      <c r="S12" s="53"/>
    </row>
    <row r="13" spans="1:21" s="18" customFormat="1" ht="15.75" x14ac:dyDescent="0.25">
      <c r="A13" s="14">
        <v>1</v>
      </c>
      <c r="B13" s="36">
        <v>32251040</v>
      </c>
      <c r="C13" s="39" t="s">
        <v>45</v>
      </c>
      <c r="D13" s="33">
        <v>95</v>
      </c>
      <c r="E13" s="33">
        <v>85</v>
      </c>
      <c r="F13" s="33">
        <v>90</v>
      </c>
      <c r="G13" s="15">
        <f t="shared" ref="G13" si="0">SUM(D13:F13)/3/100*25</f>
        <v>22.5</v>
      </c>
      <c r="H13" s="30">
        <v>90</v>
      </c>
      <c r="I13" s="15">
        <f>H13/100*5</f>
        <v>4.5</v>
      </c>
      <c r="J13" s="16">
        <v>90</v>
      </c>
      <c r="K13" s="15">
        <f t="shared" ref="K13" si="1">J13/100*5</f>
        <v>4.5</v>
      </c>
      <c r="L13" s="17">
        <v>14</v>
      </c>
      <c r="M13" s="15">
        <f t="shared" ref="M13" si="2">L13/$P$8*15</f>
        <v>15</v>
      </c>
      <c r="N13" s="31">
        <v>92</v>
      </c>
      <c r="O13" s="15">
        <f t="shared" ref="O13" si="3">N13/100*25</f>
        <v>23</v>
      </c>
      <c r="P13" s="31">
        <v>94</v>
      </c>
      <c r="Q13" s="15">
        <f t="shared" ref="Q13" si="4">P13/100*25</f>
        <v>23.5</v>
      </c>
      <c r="R13" s="15">
        <f t="shared" ref="R13" si="5">G13+I13+K13+M13+O13+Q13</f>
        <v>93</v>
      </c>
      <c r="S13" s="32" t="str">
        <f t="shared" ref="S13" si="6">IF(R13&gt;=85,"A",IF(R13&gt;=80,"A-",IF(R13&gt;=75,"B+",IF(R13&gt;=70,"B",IF(R13&gt;=65,"B-",IF(R13&gt;=60,"C+",IF(R13&gt;=55,"C",IF(R13&gt;=50,"C-",IF(R13&gt;=40,"D",IF(R13&gt;=0,"E"))))))))))</f>
        <v>A</v>
      </c>
    </row>
    <row r="14" spans="1:21" ht="15.75" x14ac:dyDescent="0.25">
      <c r="A14" s="14">
        <v>2</v>
      </c>
      <c r="B14" s="36"/>
      <c r="C14" s="39"/>
      <c r="D14" s="33"/>
      <c r="E14" s="33"/>
      <c r="F14" s="33"/>
      <c r="G14" s="15"/>
      <c r="H14" s="30"/>
      <c r="I14" s="15"/>
      <c r="J14" s="16"/>
      <c r="K14" s="15"/>
      <c r="L14" s="17"/>
      <c r="M14" s="15"/>
      <c r="N14" s="31"/>
      <c r="O14" s="15"/>
      <c r="P14" s="33"/>
      <c r="Q14" s="15"/>
      <c r="R14" s="15"/>
      <c r="S14" s="32"/>
    </row>
    <row r="15" spans="1:21" ht="15.75" x14ac:dyDescent="0.25">
      <c r="A15" s="14">
        <v>3</v>
      </c>
      <c r="B15" s="36"/>
      <c r="C15" s="39"/>
      <c r="D15" s="33"/>
      <c r="E15" s="33"/>
      <c r="F15" s="33"/>
      <c r="G15" s="15"/>
      <c r="H15" s="30"/>
      <c r="I15" s="15"/>
      <c r="J15" s="16"/>
      <c r="K15" s="15"/>
      <c r="L15" s="17"/>
      <c r="M15" s="15"/>
      <c r="N15" s="31"/>
      <c r="O15" s="15"/>
      <c r="P15" s="33"/>
      <c r="Q15" s="15"/>
      <c r="R15" s="15"/>
      <c r="S15" s="32"/>
    </row>
    <row r="16" spans="1:21" ht="15.75" x14ac:dyDescent="0.25">
      <c r="A16" s="38">
        <v>4</v>
      </c>
      <c r="B16" s="36"/>
      <c r="C16" s="39"/>
      <c r="D16" s="33"/>
      <c r="E16" s="33"/>
      <c r="F16" s="33"/>
      <c r="G16" s="15"/>
      <c r="H16" s="30"/>
      <c r="I16" s="15"/>
      <c r="J16" s="16"/>
      <c r="K16" s="15"/>
      <c r="L16" s="17"/>
      <c r="M16" s="15"/>
      <c r="N16" s="33"/>
      <c r="O16" s="15"/>
      <c r="P16" s="33"/>
      <c r="Q16" s="15"/>
      <c r="R16" s="15"/>
      <c r="S16" s="32"/>
    </row>
    <row r="17" spans="1:21" ht="15.75" x14ac:dyDescent="0.25">
      <c r="A17" s="14">
        <v>5</v>
      </c>
      <c r="B17" s="36"/>
      <c r="C17" s="39"/>
      <c r="D17" s="33"/>
      <c r="E17" s="33"/>
      <c r="F17" s="33"/>
      <c r="G17" s="15"/>
      <c r="H17" s="30"/>
      <c r="I17" s="15"/>
      <c r="J17" s="16"/>
      <c r="K17" s="15"/>
      <c r="L17" s="17"/>
      <c r="M17" s="15"/>
      <c r="N17" s="33"/>
      <c r="O17" s="15"/>
      <c r="P17" s="33"/>
      <c r="Q17" s="15"/>
      <c r="R17" s="15"/>
      <c r="S17" s="32"/>
    </row>
    <row r="18" spans="1:21" ht="15.75" x14ac:dyDescent="0.25">
      <c r="A18" s="14">
        <v>6</v>
      </c>
      <c r="B18" s="36"/>
      <c r="C18" s="42"/>
      <c r="D18" s="33"/>
      <c r="E18" s="33"/>
      <c r="F18" s="33"/>
      <c r="G18" s="15"/>
      <c r="H18" s="30"/>
      <c r="I18" s="15"/>
      <c r="J18" s="16"/>
      <c r="K18" s="15"/>
      <c r="L18" s="17"/>
      <c r="M18" s="15"/>
      <c r="N18" s="33"/>
      <c r="O18" s="15"/>
      <c r="P18" s="33"/>
      <c r="Q18" s="15"/>
      <c r="R18" s="15"/>
      <c r="S18" s="32"/>
    </row>
    <row r="19" spans="1:21" ht="15.75" x14ac:dyDescent="0.25">
      <c r="A19" s="14">
        <v>7</v>
      </c>
      <c r="B19" s="36"/>
      <c r="C19" s="34"/>
      <c r="D19" s="33"/>
      <c r="E19" s="33"/>
      <c r="F19" s="33"/>
      <c r="G19" s="15"/>
      <c r="H19" s="30"/>
      <c r="I19" s="15"/>
      <c r="J19" s="16"/>
      <c r="K19" s="15"/>
      <c r="L19" s="17"/>
      <c r="M19" s="15"/>
      <c r="N19" s="33"/>
      <c r="O19" s="15"/>
      <c r="P19" s="33"/>
      <c r="Q19" s="15"/>
      <c r="R19" s="15"/>
      <c r="S19" s="32"/>
    </row>
    <row r="20" spans="1:21" ht="15.75" x14ac:dyDescent="0.25">
      <c r="A20" s="14">
        <v>8</v>
      </c>
      <c r="B20" s="36"/>
      <c r="C20" s="41"/>
      <c r="D20" s="33"/>
      <c r="E20" s="33"/>
      <c r="F20" s="33"/>
      <c r="G20" s="15"/>
      <c r="H20" s="30"/>
      <c r="I20" s="15"/>
      <c r="J20" s="16"/>
      <c r="K20" s="15"/>
      <c r="L20" s="17"/>
      <c r="M20" s="15"/>
      <c r="N20" s="33"/>
      <c r="O20" s="15"/>
      <c r="P20" s="33"/>
      <c r="Q20" s="15"/>
      <c r="R20" s="15"/>
      <c r="S20" s="32"/>
    </row>
    <row r="21" spans="1:21" ht="15.75" x14ac:dyDescent="0.25">
      <c r="A21" s="14">
        <v>9</v>
      </c>
      <c r="B21" s="36"/>
      <c r="C21" s="44"/>
      <c r="D21" s="33"/>
      <c r="E21" s="33"/>
      <c r="F21" s="33"/>
      <c r="G21" s="15"/>
      <c r="H21" s="30"/>
      <c r="I21" s="15"/>
      <c r="J21" s="16"/>
      <c r="K21" s="15"/>
      <c r="L21" s="17"/>
      <c r="M21" s="15"/>
      <c r="N21" s="33"/>
      <c r="O21" s="15"/>
      <c r="P21" s="31"/>
      <c r="Q21" s="15"/>
      <c r="R21" s="15"/>
      <c r="S21" s="32"/>
    </row>
    <row r="22" spans="1:21" ht="15.75" x14ac:dyDescent="0.25">
      <c r="A22" s="14">
        <v>10</v>
      </c>
      <c r="B22" s="36"/>
      <c r="C22" s="34"/>
      <c r="D22" s="33"/>
      <c r="E22" s="33"/>
      <c r="F22" s="33"/>
      <c r="G22" s="15"/>
      <c r="H22" s="30"/>
      <c r="I22" s="15"/>
      <c r="J22" s="16"/>
      <c r="K22" s="15"/>
      <c r="L22" s="17"/>
      <c r="M22" s="15"/>
      <c r="N22" s="31"/>
      <c r="O22" s="15"/>
      <c r="P22" s="31"/>
      <c r="Q22" s="15"/>
      <c r="R22" s="15"/>
      <c r="S22" s="32"/>
    </row>
    <row r="23" spans="1:21" ht="15.75" x14ac:dyDescent="0.25">
      <c r="A23" s="14">
        <v>11</v>
      </c>
      <c r="B23" s="36"/>
      <c r="C23" s="45"/>
      <c r="D23" s="33"/>
      <c r="E23" s="33"/>
      <c r="F23" s="33"/>
      <c r="G23" s="15"/>
      <c r="H23" s="30"/>
      <c r="I23" s="15"/>
      <c r="J23" s="16"/>
      <c r="K23" s="15"/>
      <c r="L23" s="17"/>
      <c r="M23" s="15"/>
      <c r="N23" s="31"/>
      <c r="O23" s="15"/>
      <c r="P23" s="31"/>
      <c r="Q23" s="15"/>
      <c r="R23" s="15"/>
      <c r="S23" s="32"/>
    </row>
    <row r="24" spans="1:21" ht="15.75" x14ac:dyDescent="0.25">
      <c r="A24" s="14">
        <v>12</v>
      </c>
      <c r="B24" s="36"/>
      <c r="C24" s="40"/>
      <c r="D24" s="33"/>
      <c r="E24" s="33"/>
      <c r="F24" s="33"/>
      <c r="G24" s="15"/>
      <c r="H24" s="30"/>
      <c r="I24" s="15"/>
      <c r="J24" s="16"/>
      <c r="K24" s="15"/>
      <c r="L24" s="17"/>
      <c r="M24" s="15"/>
      <c r="N24" s="33"/>
      <c r="O24" s="15"/>
      <c r="P24" s="33"/>
      <c r="Q24" s="15"/>
      <c r="R24" s="15"/>
      <c r="S24" s="32"/>
    </row>
    <row r="25" spans="1:21" ht="15.75" x14ac:dyDescent="0.25">
      <c r="A25" s="14">
        <v>13</v>
      </c>
      <c r="B25" s="36"/>
      <c r="C25" s="43"/>
      <c r="D25" s="33"/>
      <c r="E25" s="33"/>
      <c r="F25" s="33"/>
      <c r="G25" s="15"/>
      <c r="H25" s="30"/>
      <c r="I25" s="15"/>
      <c r="J25" s="16"/>
      <c r="K25" s="15"/>
      <c r="L25" s="17"/>
      <c r="M25" s="15"/>
      <c r="N25" s="33"/>
      <c r="O25" s="15"/>
      <c r="P25" s="33"/>
      <c r="Q25" s="15"/>
      <c r="R25" s="15"/>
      <c r="S25" s="32"/>
    </row>
    <row r="26" spans="1:21" ht="15.75" x14ac:dyDescent="0.25">
      <c r="A26" s="14">
        <v>14</v>
      </c>
      <c r="B26" s="36"/>
      <c r="C26" s="37"/>
      <c r="D26" s="33"/>
      <c r="E26" s="33"/>
      <c r="F26" s="33"/>
      <c r="G26" s="15"/>
      <c r="H26" s="30"/>
      <c r="I26" s="15"/>
      <c r="J26" s="16"/>
      <c r="K26" s="15"/>
      <c r="L26" s="17"/>
      <c r="M26" s="15"/>
      <c r="N26" s="33"/>
      <c r="O26" s="15"/>
      <c r="P26" s="33"/>
      <c r="Q26" s="15"/>
      <c r="R26" s="15"/>
      <c r="S26" s="32"/>
    </row>
    <row r="27" spans="1:21" ht="15.75" x14ac:dyDescent="0.25">
      <c r="A27" s="14">
        <v>15</v>
      </c>
      <c r="B27" s="36"/>
      <c r="C27" s="37"/>
      <c r="D27" s="33"/>
      <c r="E27" s="33"/>
      <c r="F27" s="33"/>
      <c r="G27" s="15"/>
      <c r="H27" s="30"/>
      <c r="I27" s="15"/>
      <c r="J27" s="16"/>
      <c r="K27" s="15"/>
      <c r="L27" s="17"/>
      <c r="M27" s="15"/>
      <c r="N27" s="33"/>
      <c r="O27" s="15"/>
      <c r="P27" s="31"/>
      <c r="Q27" s="15"/>
      <c r="R27" s="15"/>
      <c r="S27" s="32"/>
    </row>
    <row r="28" spans="1:21" x14ac:dyDescent="0.25">
      <c r="B28" s="19"/>
      <c r="C28" s="20"/>
      <c r="G28" s="21"/>
      <c r="R28" s="21"/>
      <c r="S28" s="22"/>
    </row>
    <row r="29" spans="1:21" ht="15.75" x14ac:dyDescent="0.25">
      <c r="D29" s="2"/>
      <c r="E29" s="2"/>
      <c r="F29" s="2"/>
      <c r="G29" s="2"/>
      <c r="J29" s="27"/>
      <c r="K29" s="28"/>
      <c r="L29" s="28"/>
      <c r="M29" s="28"/>
      <c r="N29" s="28"/>
      <c r="O29" s="27" t="s">
        <v>44</v>
      </c>
      <c r="P29" s="28"/>
      <c r="Q29" s="28"/>
      <c r="R29" s="21"/>
    </row>
    <row r="30" spans="1:21" ht="15.75" x14ac:dyDescent="0.25">
      <c r="B30" s="35"/>
      <c r="D30" s="23" t="s">
        <v>32</v>
      </c>
      <c r="E30" s="23"/>
      <c r="F30" s="23"/>
      <c r="G30" s="17"/>
      <c r="H30" s="17"/>
      <c r="N30" s="28"/>
      <c r="O30" s="27" t="s">
        <v>34</v>
      </c>
      <c r="P30" s="28"/>
      <c r="Q30" s="29"/>
      <c r="R30" s="21"/>
    </row>
    <row r="31" spans="1:21" s="8" customFormat="1" ht="15.75" x14ac:dyDescent="0.25">
      <c r="A31" s="2"/>
      <c r="B31" s="35"/>
      <c r="D31" s="49" t="s">
        <v>33</v>
      </c>
      <c r="E31" s="50"/>
      <c r="F31" s="50"/>
      <c r="G31" s="51"/>
      <c r="H31" s="24">
        <v>0.25</v>
      </c>
      <c r="N31" s="28"/>
      <c r="O31" s="27"/>
      <c r="P31" s="29"/>
      <c r="Q31" s="29"/>
      <c r="T31" s="2"/>
      <c r="U31" s="2"/>
    </row>
    <row r="32" spans="1:21" s="8" customFormat="1" x14ac:dyDescent="0.25">
      <c r="A32" s="2"/>
      <c r="B32" s="35"/>
      <c r="D32" s="49" t="s">
        <v>35</v>
      </c>
      <c r="E32" s="50"/>
      <c r="F32" s="50"/>
      <c r="G32" s="51"/>
      <c r="H32" s="24">
        <v>0.25</v>
      </c>
      <c r="O32" s="22"/>
      <c r="P32" s="22"/>
      <c r="Q32" s="22"/>
      <c r="T32" s="2"/>
      <c r="U32" s="2"/>
    </row>
    <row r="33" spans="1:21" s="8" customFormat="1" x14ac:dyDescent="0.25">
      <c r="A33" s="2"/>
      <c r="B33" s="35"/>
      <c r="D33" s="49" t="s">
        <v>36</v>
      </c>
      <c r="E33" s="50"/>
      <c r="F33" s="50"/>
      <c r="G33" s="51"/>
      <c r="H33" s="24">
        <v>0.15</v>
      </c>
      <c r="O33" s="22"/>
      <c r="P33" s="22"/>
      <c r="Q33" s="22"/>
      <c r="T33" s="2"/>
      <c r="U33" s="2"/>
    </row>
    <row r="34" spans="1:21" s="8" customFormat="1" x14ac:dyDescent="0.25">
      <c r="A34" s="2"/>
      <c r="B34" s="35"/>
      <c r="D34" s="49" t="s">
        <v>37</v>
      </c>
      <c r="E34" s="50"/>
      <c r="F34" s="50"/>
      <c r="G34" s="51"/>
      <c r="H34" s="24">
        <v>0.05</v>
      </c>
      <c r="O34" s="6">
        <f>C5</f>
        <v>0</v>
      </c>
      <c r="P34" s="22"/>
      <c r="Q34" s="22"/>
      <c r="T34" s="2"/>
      <c r="U34" s="2"/>
    </row>
    <row r="35" spans="1:21" s="8" customFormat="1" x14ac:dyDescent="0.25">
      <c r="A35" s="2"/>
      <c r="B35" s="2"/>
      <c r="D35" s="49" t="s">
        <v>13</v>
      </c>
      <c r="E35" s="50"/>
      <c r="F35" s="50"/>
      <c r="G35" s="51"/>
      <c r="H35" s="24">
        <v>0.25</v>
      </c>
      <c r="O35" s="6"/>
      <c r="Q35" s="22"/>
      <c r="T35" s="2"/>
      <c r="U35" s="2"/>
    </row>
    <row r="36" spans="1:21" s="8" customFormat="1" x14ac:dyDescent="0.25">
      <c r="A36" s="2"/>
      <c r="B36" s="2"/>
      <c r="D36" s="49" t="s">
        <v>14</v>
      </c>
      <c r="E36" s="50"/>
      <c r="F36" s="50"/>
      <c r="G36" s="51"/>
      <c r="H36" s="24">
        <v>0.05</v>
      </c>
      <c r="P36" s="22"/>
      <c r="Q36" s="22"/>
      <c r="T36" s="2"/>
      <c r="U36" s="2"/>
    </row>
    <row r="37" spans="1:21" s="8" customFormat="1" x14ac:dyDescent="0.25">
      <c r="A37" s="2"/>
      <c r="B37" s="2"/>
      <c r="D37" s="46" t="s">
        <v>38</v>
      </c>
      <c r="E37" s="47"/>
      <c r="F37" s="47"/>
      <c r="G37" s="48"/>
      <c r="H37" s="25">
        <f>SUM(H31:H36)</f>
        <v>1</v>
      </c>
      <c r="T37" s="2"/>
      <c r="U37" s="2"/>
    </row>
  </sheetData>
  <mergeCells count="25">
    <mergeCell ref="A7:B7"/>
    <mergeCell ref="A1:S1"/>
    <mergeCell ref="A2:S2"/>
    <mergeCell ref="A3:S3"/>
    <mergeCell ref="A5:B5"/>
    <mergeCell ref="A6:B6"/>
    <mergeCell ref="S11:S12"/>
    <mergeCell ref="A8:B8"/>
    <mergeCell ref="A9:B9"/>
    <mergeCell ref="A11:A12"/>
    <mergeCell ref="B11:B12"/>
    <mergeCell ref="C11:C12"/>
    <mergeCell ref="D11:G11"/>
    <mergeCell ref="H11:I11"/>
    <mergeCell ref="J11:K11"/>
    <mergeCell ref="L11:M11"/>
    <mergeCell ref="N11:Q11"/>
    <mergeCell ref="R11:R12"/>
    <mergeCell ref="D37:G37"/>
    <mergeCell ref="D31:G31"/>
    <mergeCell ref="D32:G32"/>
    <mergeCell ref="D33:G33"/>
    <mergeCell ref="D34:G34"/>
    <mergeCell ref="D35:G35"/>
    <mergeCell ref="D36:G3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orientation="landscape" r:id="rId1"/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</vt:lpstr>
      <vt:lpstr>x!Print_Area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baak</dc:creator>
  <cp:lastModifiedBy>user</cp:lastModifiedBy>
  <cp:lastPrinted>2026-08-13T12:18:37Z</cp:lastPrinted>
  <dcterms:created xsi:type="dcterms:W3CDTF">2022-03-25T07:13:57Z</dcterms:created>
  <dcterms:modified xsi:type="dcterms:W3CDTF">2026-09-15T05:57:59Z</dcterms:modified>
</cp:coreProperties>
</file>